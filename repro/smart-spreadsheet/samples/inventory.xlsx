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uppliers" sheetId="2" state="visible" r:id="rId2"/>
  </sheets>
  <definedNames>
    <definedName name="_xlnm._FilterDatabase" localSheetId="0" hidden="1">'Inventory'!$A$4:$J$16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5E59"/>
    </font>
    <font>
      <b val="1"/>
      <color rgb="00134E4A"/>
    </font>
    <font>
      <color rgb="0064748B"/>
    </font>
    <font>
      <b val="1"/>
    </font>
    <font>
      <b val="1"/>
      <color rgb="00FFFFFF"/>
    </font>
    <font>
      <i val="1"/>
      <color rgb="0064748B"/>
    </font>
    <font>
      <b val="1"/>
      <color rgb="000F766E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  <fill>
      <patternFill patternType="solid">
        <fgColor rgb="00F0FDFA"/>
      </patternFill>
    </fill>
  </fills>
  <borders count="3">
    <border>
      <left/>
      <right/>
      <top/>
      <bottom/>
      <diagonal/>
    </border>
    <border>
      <bottom style="thin">
        <color rgb="0094A3B8"/>
      </bottom>
    </border>
    <border>
      <top style="medium">
        <color rgb="0014B8A6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165" fontId="3" fillId="4" borderId="2" pivotButton="0" quotePrefix="0" xfId="0"/>
    <xf numFmtId="0" fontId="6" fillId="2" borderId="0" pivotButton="0" quotePrefix="0" xfId="0"/>
    <xf numFmtId="0" fontId="5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6" customWidth="1" min="4" max="4"/>
    <col width="10" customWidth="1" min="5" max="5"/>
    <col width="11" customWidth="1" min="6" max="6"/>
    <col width="11" customWidth="1" min="7" max="7"/>
    <col width="13" customWidth="1" min="8" max="8"/>
    <col width="14" customWidth="1" min="9" max="9"/>
    <col width="13" customWidth="1" min="10" max="10"/>
  </cols>
  <sheetData>
    <row r="1" ht="30" customHeight="1">
      <c r="A1" s="1" t="inlineStr">
        <is>
          <t>Northwind Warehouse · Inventory snapshot</t>
        </is>
      </c>
    </row>
    <row r="2">
      <c r="A2" s="2" t="inlineStr">
        <is>
          <t>This file was written by openpyxl and parsed by Cellwise’s own .xlsx reader — formulas are recalculated on import.</t>
        </is>
      </c>
    </row>
    <row r="4">
      <c r="A4" s="3" t="inlineStr">
        <is>
          <t>SKU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Supplier</t>
        </is>
      </c>
      <c r="E4" s="4" t="inlineStr">
        <is>
          <t>On hand</t>
        </is>
      </c>
      <c r="F4" s="4" t="inlineStr">
        <is>
          <t>Reorder at</t>
        </is>
      </c>
      <c r="G4" s="4" t="inlineStr">
        <is>
          <t>Unit cost</t>
        </is>
      </c>
      <c r="H4" s="4" t="inlineStr">
        <is>
          <t>Stock value</t>
        </is>
      </c>
      <c r="I4" s="3" t="inlineStr">
        <is>
          <t>Status</t>
        </is>
      </c>
      <c r="J4" s="3" t="inlineStr">
        <is>
          <t>Last restock</t>
        </is>
      </c>
    </row>
    <row r="5">
      <c r="A5" s="5" t="inlineStr">
        <is>
          <t>NW-1001</t>
        </is>
      </c>
      <c r="B5" t="inlineStr">
        <is>
          <t>Espresso beans 1kg</t>
        </is>
      </c>
      <c r="C5" t="inlineStr">
        <is>
          <t>Coffee</t>
        </is>
      </c>
      <c r="D5" t="inlineStr">
        <is>
          <t>Andes Roasters</t>
        </is>
      </c>
      <c r="E5" s="6" t="n">
        <v>142</v>
      </c>
      <c r="F5" s="6" t="n">
        <v>60</v>
      </c>
      <c r="G5" s="7" t="n">
        <v>18.5</v>
      </c>
      <c r="H5" s="8">
        <f>E5*G5</f>
        <v/>
      </c>
      <c r="I5" s="9">
        <f>IF(E5&lt;F5,"Reorder","OK")</f>
        <v/>
      </c>
      <c r="J5" s="10" t="n">
        <v>46267</v>
      </c>
    </row>
    <row r="6">
      <c r="A6" s="5" t="inlineStr">
        <is>
          <t>NW-1002</t>
        </is>
      </c>
      <c r="B6" t="inlineStr">
        <is>
          <t>Oat milk 1L</t>
        </is>
      </c>
      <c r="C6" t="inlineStr">
        <is>
          <t>Dairy-free</t>
        </is>
      </c>
      <c r="D6" t="inlineStr">
        <is>
          <t>Green Valley</t>
        </is>
      </c>
      <c r="E6" s="6" t="n">
        <v>38</v>
      </c>
      <c r="F6" s="6" t="n">
        <v>50</v>
      </c>
      <c r="G6" s="7" t="n">
        <v>2.4</v>
      </c>
      <c r="H6" s="8">
        <f>E6*G6</f>
        <v/>
      </c>
      <c r="I6" s="9">
        <f>IF(E6&lt;F6,"Reorder","OK")</f>
        <v/>
      </c>
      <c r="J6" s="10" t="n">
        <v>46277</v>
      </c>
    </row>
    <row r="7">
      <c r="A7" s="5" t="inlineStr">
        <is>
          <t>NW-1003</t>
        </is>
      </c>
      <c r="B7" t="inlineStr">
        <is>
          <t>Paper cups 12oz</t>
        </is>
      </c>
      <c r="C7" t="inlineStr">
        <is>
          <t>Supplies</t>
        </is>
      </c>
      <c r="D7" t="inlineStr">
        <is>
          <t>PackRight</t>
        </is>
      </c>
      <c r="E7" s="6" t="n">
        <v>2400</v>
      </c>
      <c r="F7" s="6" t="n">
        <v>1000</v>
      </c>
      <c r="G7" s="7" t="n">
        <v>0.09</v>
      </c>
      <c r="H7" s="8">
        <f>E7*G7</f>
        <v/>
      </c>
      <c r="I7" s="9">
        <f>IF(E7&lt;F7,"Reorder","OK")</f>
        <v/>
      </c>
      <c r="J7" s="10" t="n">
        <v>46262</v>
      </c>
    </row>
    <row r="8">
      <c r="A8" s="5" t="inlineStr">
        <is>
          <t>NW-1004</t>
        </is>
      </c>
      <c r="B8" t="inlineStr">
        <is>
          <t>Matcha powder 250g</t>
        </is>
      </c>
      <c r="C8" t="inlineStr">
        <is>
          <t>Tea</t>
        </is>
      </c>
      <c r="D8" t="inlineStr">
        <is>
          <t>Kyoto Leaf</t>
        </is>
      </c>
      <c r="E8" s="6" t="n">
        <v>17</v>
      </c>
      <c r="F8" s="6" t="n">
        <v>20</v>
      </c>
      <c r="G8" s="7" t="n">
        <v>22</v>
      </c>
      <c r="H8" s="8">
        <f>E8*G8</f>
        <v/>
      </c>
      <c r="I8" s="9">
        <f>IF(E8&lt;F8,"Reorder","OK")</f>
        <v/>
      </c>
      <c r="J8" s="10" t="n">
        <v>46233</v>
      </c>
    </row>
    <row r="9">
      <c r="A9" s="5" t="inlineStr">
        <is>
          <t>NW-1005</t>
        </is>
      </c>
      <c r="B9" t="inlineStr">
        <is>
          <t>Chai syrup 750ml</t>
        </is>
      </c>
      <c r="C9" t="inlineStr">
        <is>
          <t>Syrups</t>
        </is>
      </c>
      <c r="D9" t="inlineStr">
        <is>
          <t>Sweet Drop</t>
        </is>
      </c>
      <c r="E9" s="6" t="n">
        <v>64</v>
      </c>
      <c r="F9" s="6" t="n">
        <v>30</v>
      </c>
      <c r="G9" s="7" t="n">
        <v>7.8</v>
      </c>
      <c r="H9" s="8">
        <f>E9*G9</f>
        <v/>
      </c>
      <c r="I9" s="9">
        <f>IF(E9&lt;F9,"Reorder","OK")</f>
        <v/>
      </c>
      <c r="J9" s="10" t="n">
        <v>46274</v>
      </c>
    </row>
    <row r="10">
      <c r="A10" s="5" t="inlineStr">
        <is>
          <t>NW-1006</t>
        </is>
      </c>
      <c r="B10" t="inlineStr">
        <is>
          <t>Decaf beans 1kg</t>
        </is>
      </c>
      <c r="C10" t="inlineStr">
        <is>
          <t>Coffee</t>
        </is>
      </c>
      <c r="D10" t="inlineStr">
        <is>
          <t>Andes Roasters</t>
        </is>
      </c>
      <c r="E10" s="6" t="n">
        <v>45</v>
      </c>
      <c r="F10" s="6" t="n">
        <v>40</v>
      </c>
      <c r="G10" s="7" t="n">
        <v>19.9</v>
      </c>
      <c r="H10" s="8">
        <f>E10*G10</f>
        <v/>
      </c>
      <c r="I10" s="9">
        <f>IF(E10&lt;F10,"Reorder","OK")</f>
        <v/>
      </c>
      <c r="J10" s="10" t="n">
        <v>46249</v>
      </c>
    </row>
    <row r="11">
      <c r="A11" s="5" t="inlineStr">
        <is>
          <t>NW-1007</t>
        </is>
      </c>
      <c r="B11" t="inlineStr">
        <is>
          <t>Almond milk 1L</t>
        </is>
      </c>
      <c r="C11" t="inlineStr">
        <is>
          <t>Dairy-free</t>
        </is>
      </c>
      <c r="D11" t="inlineStr">
        <is>
          <t>Green Valley</t>
        </is>
      </c>
      <c r="E11" s="6" t="n">
        <v>72</v>
      </c>
      <c r="F11" s="6" t="n">
        <v>50</v>
      </c>
      <c r="G11" s="7" t="n">
        <v>2.9</v>
      </c>
      <c r="H11" s="8">
        <f>E11*G11</f>
        <v/>
      </c>
      <c r="I11" s="9">
        <f>IF(E11&lt;F11,"Reorder","OK")</f>
        <v/>
      </c>
      <c r="J11" s="10" t="n">
        <v>46277</v>
      </c>
    </row>
    <row r="12">
      <c r="A12" s="5" t="inlineStr">
        <is>
          <t>NW-1008</t>
        </is>
      </c>
      <c r="B12" t="inlineStr">
        <is>
          <t>Cup lids 12oz</t>
        </is>
      </c>
      <c r="C12" t="inlineStr">
        <is>
          <t>Supplies</t>
        </is>
      </c>
      <c r="D12" t="inlineStr">
        <is>
          <t>PackRight</t>
        </is>
      </c>
      <c r="E12" s="6" t="n">
        <v>800</v>
      </c>
      <c r="F12" s="6" t="n">
        <v>1000</v>
      </c>
      <c r="G12" s="7" t="n">
        <v>0.05</v>
      </c>
      <c r="H12" s="8">
        <f>E12*G12</f>
        <v/>
      </c>
      <c r="I12" s="9">
        <f>IF(E12&lt;F12,"Reorder","OK")</f>
        <v/>
      </c>
      <c r="J12" s="10" t="n">
        <v>46262</v>
      </c>
    </row>
    <row r="13">
      <c r="A13" s="5" t="inlineStr">
        <is>
          <t>NW-1009</t>
        </is>
      </c>
      <c r="B13" t="inlineStr">
        <is>
          <t>Earl Grey tea 100ct</t>
        </is>
      </c>
      <c r="C13" t="inlineStr">
        <is>
          <t>Tea</t>
        </is>
      </c>
      <c r="D13" t="inlineStr">
        <is>
          <t>Kyoto Leaf</t>
        </is>
      </c>
      <c r="E13" s="6" t="n">
        <v>31</v>
      </c>
      <c r="F13" s="6" t="n">
        <v>25</v>
      </c>
      <c r="G13" s="7" t="n">
        <v>11.5</v>
      </c>
      <c r="H13" s="8">
        <f>E13*G13</f>
        <v/>
      </c>
      <c r="I13" s="9">
        <f>IF(E13&lt;F13,"Reorder","OK")</f>
        <v/>
      </c>
      <c r="J13" s="10" t="n">
        <v>46266</v>
      </c>
    </row>
    <row r="14">
      <c r="A14" s="5" t="inlineStr">
        <is>
          <t>NW-1010</t>
        </is>
      </c>
      <c r="B14" t="inlineStr">
        <is>
          <t>Vanilla syrup 750ml</t>
        </is>
      </c>
      <c r="C14" t="inlineStr">
        <is>
          <t>Syrups</t>
        </is>
      </c>
      <c r="D14" t="inlineStr">
        <is>
          <t>Sweet Drop</t>
        </is>
      </c>
      <c r="E14" s="6" t="n">
        <v>22</v>
      </c>
      <c r="F14" s="6" t="n">
        <v>30</v>
      </c>
      <c r="G14" s="7" t="n">
        <v>7.2</v>
      </c>
      <c r="H14" s="8">
        <f>E14*G14</f>
        <v/>
      </c>
      <c r="I14" s="9">
        <f>IF(E14&lt;F14,"Reorder","OK")</f>
        <v/>
      </c>
      <c r="J14" s="10" t="n">
        <v>46254</v>
      </c>
    </row>
    <row r="15">
      <c r="A15" s="5" t="inlineStr">
        <is>
          <t>NW-1011</t>
        </is>
      </c>
      <c r="B15" t="inlineStr">
        <is>
          <t>Cold brew filters</t>
        </is>
      </c>
      <c r="C15" t="inlineStr">
        <is>
          <t>Supplies</t>
        </is>
      </c>
      <c r="D15" t="inlineStr">
        <is>
          <t>PackRight</t>
        </is>
      </c>
      <c r="E15" s="6" t="n">
        <v>350</v>
      </c>
      <c r="F15" s="6" t="n">
        <v>200</v>
      </c>
      <c r="G15" s="7" t="n">
        <v>0.35</v>
      </c>
      <c r="H15" s="8">
        <f>E15*G15</f>
        <v/>
      </c>
      <c r="I15" s="9">
        <f>IF(E15&lt;F15,"Reorder","OK")</f>
        <v/>
      </c>
      <c r="J15" s="10" t="n">
        <v>46270</v>
      </c>
    </row>
    <row r="16">
      <c r="A16" s="5" t="inlineStr">
        <is>
          <t>NW-1012</t>
        </is>
      </c>
      <c r="B16" t="inlineStr">
        <is>
          <t>Single-origin Kenya 1kg</t>
        </is>
      </c>
      <c r="C16" t="inlineStr">
        <is>
          <t>Coffee</t>
        </is>
      </c>
      <c r="D16" t="inlineStr">
        <is>
          <t>Andes Roasters</t>
        </is>
      </c>
      <c r="E16" s="6" t="n">
        <v>12</v>
      </c>
      <c r="F16" s="6" t="n">
        <v>25</v>
      </c>
      <c r="G16" s="7" t="n">
        <v>27</v>
      </c>
      <c r="H16" s="8">
        <f>E16*G16</f>
        <v/>
      </c>
      <c r="I16" s="9">
        <f>IF(E16&lt;F16,"Reorder","OK")</f>
        <v/>
      </c>
      <c r="J16" s="10" t="n">
        <v>46221</v>
      </c>
    </row>
    <row r="17">
      <c r="A17" s="11" t="inlineStr">
        <is>
          <t>Totals</t>
        </is>
      </c>
      <c r="B17" s="11" t="n"/>
      <c r="C17" s="11" t="n"/>
      <c r="D17" s="11" t="n"/>
      <c r="E17" s="12">
        <f>SUM(E5:E16)</f>
        <v/>
      </c>
      <c r="F17" s="11" t="n"/>
      <c r="G17" s="13">
        <f>AVERAGE(G5:G16)</f>
        <v/>
      </c>
      <c r="H17" s="13">
        <f>SUM(H5:H16)</f>
        <v/>
      </c>
      <c r="I17" s="11">
        <f>COUNTIF(I5:I16,"Reorder")&amp;" to reorder"</f>
        <v/>
      </c>
      <c r="J17" s="14">
        <f>MAX(J5:J16)</f>
        <v/>
      </c>
    </row>
  </sheetData>
  <autoFilter ref="A4:J1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14" customWidth="1" min="5" max="5"/>
    <col width="14" customWidth="1" min="6" max="6"/>
  </cols>
  <sheetData>
    <row r="1">
      <c r="A1" s="15" t="inlineStr">
        <is>
          <t>Supplier</t>
        </is>
      </c>
      <c r="B1" s="15" t="inlineStr">
        <is>
          <t>Country</t>
        </is>
      </c>
      <c r="C1" s="15" t="inlineStr">
        <is>
          <t>Lead time (days)</t>
        </is>
      </c>
      <c r="D1" s="15" t="inlineStr">
        <is>
          <t>Items</t>
        </is>
      </c>
      <c r="E1" s="15" t="inlineStr">
        <is>
          <t>Stock value</t>
        </is>
      </c>
      <c r="F1" s="15" t="inlineStr">
        <is>
          <t>Share of value</t>
        </is>
      </c>
    </row>
    <row r="2">
      <c r="A2" s="16" t="inlineStr">
        <is>
          <t>Andes Roasters</t>
        </is>
      </c>
      <c r="B2" t="inlineStr">
        <is>
          <t>Colombia</t>
        </is>
      </c>
      <c r="C2" t="n">
        <v>14</v>
      </c>
      <c r="D2">
        <f>COUNTIF(Inventory!$D$5:$D$16,A2)</f>
        <v/>
      </c>
      <c r="E2" s="7">
        <f>SUMIF(Inventory!$D$5:$D$16,A2,Inventory!$H$5:$H$16)</f>
        <v/>
      </c>
      <c r="F2" s="17">
        <f>E2/SUM($E$2:$E$6)</f>
        <v/>
      </c>
    </row>
    <row r="3">
      <c r="A3" s="16" t="inlineStr">
        <is>
          <t>Green Valley</t>
        </is>
      </c>
      <c r="B3" t="inlineStr">
        <is>
          <t>Netherlands</t>
        </is>
      </c>
      <c r="C3" t="n">
        <v>5</v>
      </c>
      <c r="D3">
        <f>COUNTIF(Inventory!$D$5:$D$16,A3)</f>
        <v/>
      </c>
      <c r="E3" s="7">
        <f>SUMIF(Inventory!$D$5:$D$16,A3,Inventory!$H$5:$H$16)</f>
        <v/>
      </c>
      <c r="F3" s="17">
        <f>E3/SUM($E$2:$E$6)</f>
        <v/>
      </c>
    </row>
    <row r="4">
      <c r="A4" s="16" t="inlineStr">
        <is>
          <t>PackRight</t>
        </is>
      </c>
      <c r="B4" t="inlineStr">
        <is>
          <t>Germany</t>
        </is>
      </c>
      <c r="C4" t="n">
        <v>7</v>
      </c>
      <c r="D4">
        <f>COUNTIF(Inventory!$D$5:$D$16,A4)</f>
        <v/>
      </c>
      <c r="E4" s="7">
        <f>SUMIF(Inventory!$D$5:$D$16,A4,Inventory!$H$5:$H$16)</f>
        <v/>
      </c>
      <c r="F4" s="17">
        <f>E4/SUM($E$2:$E$6)</f>
        <v/>
      </c>
    </row>
    <row r="5">
      <c r="A5" s="16" t="inlineStr">
        <is>
          <t>Kyoto Leaf</t>
        </is>
      </c>
      <c r="B5" t="inlineStr">
        <is>
          <t>Japan</t>
        </is>
      </c>
      <c r="C5" t="n">
        <v>21</v>
      </c>
      <c r="D5">
        <f>COUNTIF(Inventory!$D$5:$D$16,A5)</f>
        <v/>
      </c>
      <c r="E5" s="7">
        <f>SUMIF(Inventory!$D$5:$D$16,A5,Inventory!$H$5:$H$16)</f>
        <v/>
      </c>
      <c r="F5" s="17">
        <f>E5/SUM($E$2:$E$6)</f>
        <v/>
      </c>
    </row>
    <row r="6">
      <c r="A6" s="16" t="inlineStr">
        <is>
          <t>Sweet Drop</t>
        </is>
      </c>
      <c r="B6" t="inlineStr">
        <is>
          <t>France</t>
        </is>
      </c>
      <c r="C6" t="n">
        <v>9</v>
      </c>
      <c r="D6">
        <f>COUNTIF(Inventory!$D$5:$D$16,A6)</f>
        <v/>
      </c>
      <c r="E6" s="7">
        <f>SUMIF(Inventory!$D$5:$D$16,A6,Inventory!$H$5:$H$16)</f>
        <v/>
      </c>
      <c r="F6" s="17">
        <f>E6/SUM($E$2:$E$6)</f>
        <v/>
      </c>
    </row>
    <row r="8">
      <c r="A8" s="18" t="inlineStr">
        <is>
          <t>Fastest supplier</t>
        </is>
      </c>
      <c r="B8" s="19">
        <f>INDEX(A2:A6,MATCH(MIN(C2:C6),C2:C6,0))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Northwind inventory</dc:title>
  <dcterms:created xsi:type="dcterms:W3CDTF">2026-09-24T09:40:31Z</dcterms:created>
  <dcterms:modified xsi:type="dcterms:W3CDTF">2026-09-24T09:40:31Z</dcterms:modified>
</cp:coreProperties>
</file>